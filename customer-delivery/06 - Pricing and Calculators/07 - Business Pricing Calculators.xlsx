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reStart Pro" sheetId="1" state="visible" r:id="rId1"/>
    <sheet xmlns:r="http://schemas.openxmlformats.org/officeDocument/2006/relationships" name="Pricing &amp; Margin" sheetId="2" state="visible" r:id="rId2"/>
    <sheet xmlns:r="http://schemas.openxmlformats.org/officeDocument/2006/relationships" name="Staffing Cost" sheetId="3" state="visible" r:id="rId3"/>
    <sheet xmlns:r="http://schemas.openxmlformats.org/officeDocument/2006/relationships" name="Cash Reserve" sheetId="4" state="visible" r:id="rId4"/>
  </sheets>
  <definedNames/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5">
    <numFmt numFmtId="164" formatCode="\$#,##0.00"/>
    <numFmt numFmtId="165" formatCode="0.0%"/>
    <numFmt numFmtId="166" formatCode="\$#,##0"/>
    <numFmt numFmtId="167" formatCode="0.0"/>
    <numFmt numFmtId="168" formatCode="$0.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F2547"/>
      <sz val="16"/>
    </font>
    <font>
      <name val="Arial"/>
      <charset val="1"/>
      <family val="0"/>
      <i val="1"/>
      <color rgb="FF5A6472"/>
      <sz val="9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Cambria"/>
      <charset val="1"/>
      <family val="0"/>
      <i val="1"/>
      <color rgb="FF5A6472"/>
      <sz val="9"/>
    </font>
    <font>
      <name val="Arial"/>
      <charset val="1"/>
      <family val="0"/>
      <b val="1"/>
      <color rgb="FFFFFFFF"/>
      <sz val="11"/>
    </font>
    <font>
      <name val="Georgia"/>
      <b val="1"/>
      <color rgb="000F2547"/>
      <sz val="20"/>
    </font>
    <font>
      <name val="Arial"/>
      <color rgb="005B6472"/>
      <sz val="10"/>
    </font>
    <font>
      <name val="Arial"/>
      <b val="1"/>
      <color rgb="00C9A227"/>
      <sz val="9"/>
    </font>
    <font>
      <name val="Arial"/>
      <color rgb="000F2547"/>
      <sz val="10"/>
    </font>
  </fonts>
  <fills count="6">
    <fill>
      <patternFill/>
    </fill>
    <fill>
      <patternFill patternType="gray125"/>
    </fill>
    <fill>
      <patternFill patternType="solid">
        <fgColor rgb="FFF4E9C9"/>
        <bgColor rgb="FFFFF9E3"/>
      </patternFill>
    </fill>
    <fill>
      <patternFill patternType="solid">
        <fgColor rgb="FFFFF9E3"/>
        <bgColor rgb="FFFFFFFF"/>
      </patternFill>
    </fill>
    <fill>
      <patternFill patternType="solid">
        <fgColor rgb="FF0F2547"/>
        <bgColor rgb="FF333333"/>
      </patternFill>
    </fill>
    <fill>
      <patternFill patternType="solid">
        <fgColor rgb="00FAF8F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8" fillId="0" borderId="0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8" fontId="7" fillId="3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7" fontId="6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vertical="top" wrapText="1"/>
    </xf>
    <xf numFmtId="166" fontId="7" fillId="3" borderId="1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top" wrapText="1"/>
    </xf>
    <xf numFmtId="0" fontId="13" fillId="5" borderId="0" pivotButton="0" quotePrefix="0" xfId="0"/>
    <xf numFmtId="0" fontId="14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4E9C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F25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4765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D16"/>
  <sheetViews>
    <sheetView showGridLines="0" workbookViewId="0">
      <selection activeCell="A1" sqref="A1"/>
    </sheetView>
  </sheetViews>
  <sheetFormatPr baseColWidth="8" defaultRowHeight="15"/>
  <cols>
    <col width="4" customWidth="1" style="23" min="1" max="1"/>
    <col width="22" customWidth="1" style="23" min="2" max="2"/>
    <col width="22" customWidth="1" style="23" min="3" max="3"/>
    <col width="22" customWidth="1" style="23" min="4" max="4"/>
    <col width="4" customWidth="1" style="23" min="5" max="5"/>
  </cols>
  <sheetData>
    <row r="1" ht="22" customHeight="1" s="23"/>
    <row r="2" ht="22" customHeight="1" s="23"/>
    <row r="3" ht="22" customHeight="1" s="23"/>
    <row r="4" ht="22" customHeight="1" s="23"/>
    <row r="5" ht="22" customHeight="1" s="23"/>
    <row r="6" ht="22" customHeight="1" s="23">
      <c r="B6" s="45" t="inlineStr">
        <is>
          <t>CareStart Pro Business Pricing Calculators</t>
        </is>
      </c>
    </row>
    <row r="7" ht="22" customHeight="1" s="23"/>
    <row r="8" ht="22" customHeight="1" s="23"/>
    <row r="9" ht="22" customHeight="1" s="23">
      <c r="B9" s="46" t="inlineStr">
        <is>
          <t>Use your own numbers to model client pricing, staffing costs, and cash reserves. These tools are for business planning and do not replace accounting, tax, payroll, or legal advice.</t>
        </is>
      </c>
    </row>
    <row r="10" ht="22" customHeight="1" s="23"/>
    <row r="11" ht="22" customHeight="1" s="23"/>
    <row r="12" ht="22" customHeight="1" s="23"/>
    <row r="13" ht="22" customHeight="1" s="23">
      <c r="B13" s="47" t="inlineStr">
        <is>
          <t>START HERE</t>
        </is>
      </c>
    </row>
    <row r="14" ht="22" customHeight="1" s="23">
      <c r="B14" s="48" t="inlineStr">
        <is>
          <t>Open the tabs in order: 1) Pricing &amp; Margin, 2) Staffing Cost, 3) Cash Reserve. Blue cells are inputs; calculated cells update automatically.</t>
        </is>
      </c>
    </row>
    <row r="15" ht="22" customHeight="1" s="23"/>
    <row r="16" ht="22" customHeight="1" s="23"/>
    <row r="17" ht="22" customHeight="1" s="23"/>
    <row r="18" ht="22" customHeight="1" s="23"/>
    <row r="19" ht="22" customHeight="1" s="23"/>
  </sheetData>
  <mergeCells count="4">
    <mergeCell ref="B13:D13"/>
    <mergeCell ref="B14:D16"/>
    <mergeCell ref="B6:D7"/>
    <mergeCell ref="B9:D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2" min="1" max="1"/>
    <col width="16" customWidth="1" style="22" min="2" max="5"/>
  </cols>
  <sheetData>
    <row r="1" ht="25.5" customHeight="1" s="23">
      <c r="A1" s="24" t="inlineStr">
        <is>
          <t>Pricing &amp; Margin Calculator</t>
        </is>
      </c>
    </row>
    <row r="2" ht="15" customHeight="1" s="23">
      <c r="A2" s="25" t="inlineStr">
        <is>
          <t>Blue text = enter your own numbers here. Black text = calculates automatically. Do not edit black cells.</t>
        </is>
      </c>
    </row>
    <row r="4" ht="15" customHeight="1" s="23">
      <c r="A4" s="26" t="inlineStr">
        <is>
          <t>INPUTS</t>
        </is>
      </c>
    </row>
    <row r="5" ht="15" customHeight="1" s="23">
      <c r="A5" s="27" t="inlineStr">
        <is>
          <t>Caregiver hourly pay rate</t>
        </is>
      </c>
      <c r="B5" s="28" t="n">
        <v>16</v>
      </c>
    </row>
    <row r="6" ht="15" customHeight="1" s="23">
      <c r="A6" s="27" t="inlineStr">
        <is>
          <t>Payroll tax &amp; burden rate (%)</t>
        </is>
      </c>
      <c r="B6" s="29" t="n">
        <v>0.11</v>
      </c>
    </row>
    <row r="7" ht="15" customHeight="1" s="23">
      <c r="A7" s="27" t="inlineStr">
        <is>
          <t>Workers' comp rate (%)</t>
        </is>
      </c>
      <c r="B7" s="29" t="n">
        <v>0.04</v>
      </c>
    </row>
    <row r="8" ht="15" customHeight="1" s="23">
      <c r="A8" s="27" t="inlineStr">
        <is>
          <t>Overhead allocation per billable hour ($)</t>
        </is>
      </c>
      <c r="B8" s="28" t="n">
        <v>3.5</v>
      </c>
    </row>
    <row r="9" ht="15" customHeight="1" s="23">
      <c r="A9" s="27" t="inlineStr">
        <is>
          <t>Target profit margin (%)</t>
        </is>
      </c>
      <c r="B9" s="29" t="n">
        <v>0.2</v>
      </c>
    </row>
    <row r="11" ht="15" customHeight="1" s="23">
      <c r="A11" s="26" t="inlineStr">
        <is>
          <t>CALCULATED COST &amp; PRICE</t>
        </is>
      </c>
    </row>
    <row r="12" ht="15" customHeight="1" s="23">
      <c r="A12" s="27" t="inlineStr">
        <is>
          <t>Caregiver pay rate</t>
        </is>
      </c>
      <c r="B12" s="30">
        <f>B5</f>
        <v/>
      </c>
    </row>
    <row r="13" ht="15" customHeight="1" s="23">
      <c r="A13" s="27" t="inlineStr">
        <is>
          <t>Payroll tax &amp; burden ($)</t>
        </is>
      </c>
      <c r="B13" s="30">
        <f>B5*B6</f>
        <v/>
      </c>
    </row>
    <row r="14" ht="15" customHeight="1" s="23">
      <c r="A14" s="27" t="inlineStr">
        <is>
          <t>Workers' comp ($)</t>
        </is>
      </c>
      <c r="B14" s="30">
        <f>B5*B7</f>
        <v/>
      </c>
    </row>
    <row r="15" ht="15" customHeight="1" s="23">
      <c r="A15" s="27" t="inlineStr">
        <is>
          <t>Fully loaded labor cost/hr</t>
        </is>
      </c>
      <c r="B15" s="30">
        <f>B12+B13+B14</f>
        <v/>
      </c>
    </row>
    <row r="16" ht="15" customHeight="1" s="23">
      <c r="A16" s="27" t="inlineStr">
        <is>
          <t>Plus overhead allocation/hr</t>
        </is>
      </c>
      <c r="B16" s="30">
        <f>B15+B8</f>
        <v/>
      </c>
    </row>
    <row r="17" ht="15" customHeight="1" s="23">
      <c r="A17" s="27" t="inlineStr">
        <is>
          <t>Fully loaded cost per billable hour</t>
        </is>
      </c>
      <c r="B17" s="30">
        <f>B16</f>
        <v/>
      </c>
    </row>
    <row r="18" ht="15" customHeight="1" s="23">
      <c r="A18" s="27" t="inlineStr">
        <is>
          <t>Required margin $/hr (cost / (1-margin) - cost)</t>
        </is>
      </c>
      <c r="B18" s="30">
        <f>IF(OR(B9&gt;=1,B9&lt;0),0,B16/(1-B9)-B16)</f>
        <v/>
      </c>
    </row>
    <row r="19" ht="15" customHeight="1" s="23">
      <c r="A19" s="27" t="inlineStr">
        <is>
          <t>RECOMMENDED CLIENT BILL RATE / HR</t>
        </is>
      </c>
      <c r="B19" s="30">
        <f>IF(OR(B9&gt;=1,B9&lt;0),0,B16/(1-B9))</f>
        <v/>
      </c>
    </row>
    <row r="20" ht="15" customHeight="1" s="23">
      <c r="A20" s="27" t="inlineStr">
        <is>
          <t>Gross margin $ per hour at this rate</t>
        </is>
      </c>
      <c r="B20" s="30">
        <f>B19-B16</f>
        <v/>
      </c>
    </row>
    <row r="21" ht="15" customHeight="1" s="23">
      <c r="A21" s="27" t="inlineStr">
        <is>
          <t>Gross margin % at this rate</t>
        </is>
      </c>
      <c r="B21" s="31">
        <f>IF(B19&lt;=0,0,(B19-B16)/B19)</f>
        <v/>
      </c>
    </row>
    <row r="23" ht="15" customHeight="1" s="23">
      <c r="A23" s="32" t="inlineStr">
        <is>
          <t>NOTE: This model assumes your state allows the pay/bill structure entered above. Overtime, live-in, and 24-hour rate rules vary by state — verify before pricing live-in cases.</t>
        </is>
      </c>
    </row>
  </sheetData>
  <mergeCells count="5">
    <mergeCell ref="A4:B4"/>
    <mergeCell ref="A2:F2"/>
    <mergeCell ref="A23:D23"/>
    <mergeCell ref="A1:F1"/>
    <mergeCell ref="A11:B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2" min="1" max="1"/>
    <col width="15" customWidth="1" style="22" min="2" max="7"/>
  </cols>
  <sheetData>
    <row r="1" ht="25.5" customHeight="1" s="23">
      <c r="A1" s="24" t="inlineStr">
        <is>
          <t>Monthly Staffing Cost Projector</t>
        </is>
      </c>
    </row>
    <row r="2" ht="15" customHeight="1" s="23">
      <c r="A2" s="25" t="inlineStr">
        <is>
          <t>Blue text = enter your own numbers here. Black text = calculates automatically. Do not edit black cells.</t>
        </is>
      </c>
    </row>
    <row r="4" ht="26.25" customHeight="1" s="23">
      <c r="A4" s="33" t="inlineStr">
        <is>
          <t>Caregiver / Role</t>
        </is>
      </c>
      <c r="B4" s="33" t="inlineStr">
        <is>
          <t>Avg hrs/week</t>
        </is>
      </c>
      <c r="C4" s="33" t="inlineStr">
        <is>
          <t>Hourly pay ($)</t>
        </is>
      </c>
      <c r="D4" s="33" t="inlineStr">
        <is>
          <t>Weekly pay</t>
        </is>
      </c>
      <c r="E4" s="33" t="inlineStr">
        <is>
          <t>Monthly pay (x4.33)</t>
        </is>
      </c>
      <c r="F4" s="33" t="inlineStr">
        <is>
          <t>Monthly burden (18%)</t>
        </is>
      </c>
      <c r="G4" s="33" t="inlineStr">
        <is>
          <t>Total monthly cost</t>
        </is>
      </c>
    </row>
    <row r="5" ht="15" customHeight="1" s="23">
      <c r="A5" s="27" t="inlineStr">
        <is>
          <t>Caregiver 1 (example)</t>
        </is>
      </c>
      <c r="B5" s="34" t="n">
        <v>25</v>
      </c>
      <c r="C5" s="28" t="n">
        <v>16</v>
      </c>
      <c r="D5" s="35">
        <f>B5*C5</f>
        <v/>
      </c>
      <c r="E5" s="35">
        <f>D5*4.33</f>
        <v/>
      </c>
      <c r="F5" s="35">
        <f>E5*0.18</f>
        <v/>
      </c>
      <c r="G5" s="35">
        <f>E5+F5</f>
        <v/>
      </c>
    </row>
    <row r="6" ht="15" customHeight="1" s="23">
      <c r="A6" s="27" t="inlineStr">
        <is>
          <t>Caregiver 2</t>
        </is>
      </c>
      <c r="B6" s="34" t="n">
        <v>20</v>
      </c>
      <c r="C6" s="28" t="n">
        <v>16.5</v>
      </c>
      <c r="D6" s="35">
        <f>B6*C6</f>
        <v/>
      </c>
      <c r="E6" s="35">
        <f>D6*4.33</f>
        <v/>
      </c>
      <c r="F6" s="35">
        <f>E6*0.18</f>
        <v/>
      </c>
      <c r="G6" s="35">
        <f>E6+F6</f>
        <v/>
      </c>
    </row>
    <row r="7" ht="15" customHeight="1" s="23">
      <c r="A7" s="27" t="inlineStr">
        <is>
          <t>Caregiver 3</t>
        </is>
      </c>
      <c r="B7" s="34" t="n">
        <v>15</v>
      </c>
      <c r="C7" s="28" t="n">
        <v>16</v>
      </c>
      <c r="D7" s="35">
        <f>B7*C7</f>
        <v/>
      </c>
      <c r="E7" s="35">
        <f>D7*4.33</f>
        <v/>
      </c>
      <c r="F7" s="35">
        <f>E7*0.18</f>
        <v/>
      </c>
      <c r="G7" s="35">
        <f>E7+F7</f>
        <v/>
      </c>
    </row>
    <row r="8" ht="15" customHeight="1" s="23">
      <c r="A8" s="27" t="inlineStr">
        <is>
          <t>Caregiver 4</t>
        </is>
      </c>
      <c r="B8" s="34" t="n">
        <v>0</v>
      </c>
      <c r="C8" s="28" t="n">
        <v>16</v>
      </c>
      <c r="D8" s="35">
        <f>B8*C8</f>
        <v/>
      </c>
      <c r="E8" s="35">
        <f>D8*4.33</f>
        <v/>
      </c>
      <c r="F8" s="35">
        <f>E8*0.18</f>
        <v/>
      </c>
      <c r="G8" s="35">
        <f>E8+F8</f>
        <v/>
      </c>
    </row>
    <row r="9" ht="15" customHeight="1" s="23">
      <c r="A9" s="27" t="inlineStr">
        <is>
          <t>Caregiver 5</t>
        </is>
      </c>
      <c r="B9" s="34" t="n">
        <v>0</v>
      </c>
      <c r="C9" s="28" t="n">
        <v>16</v>
      </c>
      <c r="D9" s="35">
        <f>B9*C9</f>
        <v/>
      </c>
      <c r="E9" s="35">
        <f>D9*4.33</f>
        <v/>
      </c>
      <c r="F9" s="35">
        <f>E9*0.18</f>
        <v/>
      </c>
      <c r="G9" s="35">
        <f>E9+F9</f>
        <v/>
      </c>
    </row>
    <row r="10" ht="15" customHeight="1" s="23">
      <c r="A10" s="27" t="inlineStr">
        <is>
          <t>On-call / backup pool</t>
        </is>
      </c>
      <c r="B10" s="34" t="n">
        <v>0</v>
      </c>
      <c r="C10" s="28" t="n">
        <v>17</v>
      </c>
      <c r="D10" s="35">
        <f>B10*C10</f>
        <v/>
      </c>
      <c r="E10" s="35">
        <f>D10*4.33</f>
        <v/>
      </c>
      <c r="F10" s="35">
        <f>E10*0.18</f>
        <v/>
      </c>
      <c r="G10" s="35">
        <f>E10+F10</f>
        <v/>
      </c>
    </row>
    <row r="11" ht="15" customHeight="1" s="23">
      <c r="A11" s="36" t="inlineStr">
        <is>
          <t>TOTAL</t>
        </is>
      </c>
      <c r="B11" s="36">
        <f>SUM(B5:B10)</f>
        <v/>
      </c>
      <c r="C11" s="36" t="n"/>
      <c r="D11" s="37">
        <f>SUM(D5:D10)</f>
        <v/>
      </c>
      <c r="E11" s="37">
        <f>SUM(E5:E10)</f>
        <v/>
      </c>
      <c r="F11" s="37">
        <f>SUM(F5:F10)</f>
        <v/>
      </c>
      <c r="G11" s="37">
        <f>SUM(G5:G10)</f>
        <v/>
      </c>
    </row>
    <row r="13">
      <c r="A13" s="22" t="inlineStr">
        <is>
          <t>Client bill rate used for break-even ($/hr)</t>
        </is>
      </c>
      <c r="B13" s="38" t="n">
        <v>28</v>
      </c>
    </row>
    <row r="14" ht="15" customHeight="1" s="23">
      <c r="A14" s="39" t="inlineStr">
        <is>
          <t>Client billable hours needed to break even</t>
        </is>
      </c>
      <c r="D14" s="40">
        <f>IFERROR(G11/B13,0)</f>
        <v/>
      </c>
    </row>
    <row r="16" ht="32" customHeight="1" s="23">
      <c r="A16" s="41" t="inlineStr">
        <is>
          <t>Break-even uses your entered client bill rate. Staffing costs shown here exclude owner/admin costs and other fixed overhead; use the Cash Reserve sheet for those.</t>
        </is>
      </c>
    </row>
  </sheetData>
  <mergeCells count="4">
    <mergeCell ref="A1:F1"/>
    <mergeCell ref="A2:F2"/>
    <mergeCell ref="A16:G16"/>
    <mergeCell ref="A14:C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2" min="1" max="1"/>
    <col width="16" customWidth="1" style="22" min="2" max="5"/>
  </cols>
  <sheetData>
    <row r="1" ht="25.5" customHeight="1" s="23">
      <c r="A1" s="24" t="inlineStr">
        <is>
          <t>Cash Reserve Planner</t>
        </is>
      </c>
    </row>
    <row r="2" ht="15" customHeight="1" s="23">
      <c r="A2" s="25" t="inlineStr">
        <is>
          <t>Blue text = enter your own numbers here. Black text = calculates automatically. Do not edit black cells.</t>
        </is>
      </c>
    </row>
    <row r="4" ht="15" customHeight="1" s="23">
      <c r="A4" s="26" t="inlineStr">
        <is>
          <t>MONTHLY FIXED OPERATING COSTS</t>
        </is>
      </c>
    </row>
    <row r="5" ht="15" customHeight="1" s="23">
      <c r="A5" s="27" t="inlineStr">
        <is>
          <t>Total monthly caregiver payroll &amp; burden</t>
        </is>
      </c>
      <c r="B5" s="42" t="n">
        <v>8000</v>
      </c>
    </row>
    <row r="6" ht="15" customHeight="1" s="23">
      <c r="A6" s="27" t="inlineStr">
        <is>
          <t>Owner draw / salary</t>
        </is>
      </c>
      <c r="B6" s="42" t="n">
        <v>3000</v>
      </c>
    </row>
    <row r="7" ht="15" customHeight="1" s="23">
      <c r="A7" s="27" t="inlineStr">
        <is>
          <t>Liability &amp; bonding insurance</t>
        </is>
      </c>
      <c r="B7" s="42" t="n">
        <v>350</v>
      </c>
    </row>
    <row r="8" ht="15" customHeight="1" s="23">
      <c r="A8" s="27" t="inlineStr">
        <is>
          <t>Software / scheduling tools</t>
        </is>
      </c>
      <c r="B8" s="42" t="n">
        <v>150</v>
      </c>
    </row>
    <row r="9" ht="15" customHeight="1" s="23">
      <c r="A9" s="27" t="inlineStr">
        <is>
          <t>Marketing &amp; advertising</t>
        </is>
      </c>
      <c r="B9" s="42" t="n">
        <v>500</v>
      </c>
    </row>
    <row r="10" ht="15" customHeight="1" s="23">
      <c r="A10" s="27" t="inlineStr">
        <is>
          <t>Office / phone / admin</t>
        </is>
      </c>
      <c r="B10" s="42" t="n">
        <v>400</v>
      </c>
    </row>
    <row r="11" ht="15" customHeight="1" s="23">
      <c r="A11" s="27" t="inlineStr">
        <is>
          <t>Licensing &amp; compliance (amortized monthly)</t>
        </is>
      </c>
      <c r="B11" s="42" t="n">
        <v>100</v>
      </c>
    </row>
    <row r="12" ht="15" customHeight="1" s="23">
      <c r="A12" s="27" t="inlineStr">
        <is>
          <t>Other fixed costs</t>
        </is>
      </c>
      <c r="B12" s="42" t="n">
        <v>200</v>
      </c>
    </row>
    <row r="14" ht="15" customHeight="1" s="23">
      <c r="A14" s="39" t="inlineStr">
        <is>
          <t>Total monthly fixed cost</t>
        </is>
      </c>
      <c r="B14" s="43">
        <f>SUM(B5:B12)</f>
        <v/>
      </c>
    </row>
    <row r="16" ht="15" customHeight="1" s="23">
      <c r="A16" s="26" t="inlineStr">
        <is>
          <t>RESERVE TARGET</t>
        </is>
      </c>
    </row>
    <row r="17" ht="15" customHeight="1" s="23">
      <c r="A17" s="27" t="inlineStr">
        <is>
          <t>Target months of reserve (recommend 3–6)</t>
        </is>
      </c>
      <c r="B17" s="34" t="n">
        <v>4</v>
      </c>
    </row>
    <row r="18" ht="15" customHeight="1" s="23">
      <c r="A18" s="39" t="inlineStr">
        <is>
          <t>RECOMMENDED CASH RESERVE TARGET ($)</t>
        </is>
      </c>
      <c r="B18" s="43">
        <f>B14*B17</f>
        <v/>
      </c>
    </row>
    <row r="20" ht="15" customHeight="1" s="23">
      <c r="A20" s="26" t="inlineStr">
        <is>
          <t>CURRENT POSITION</t>
        </is>
      </c>
    </row>
    <row r="21" ht="15" customHeight="1" s="23">
      <c r="A21" s="27" t="inlineStr">
        <is>
          <t>Current cash on hand</t>
        </is>
      </c>
      <c r="B21" s="42" t="n">
        <v>5000</v>
      </c>
    </row>
    <row r="22" ht="15" customHeight="1" s="23">
      <c r="A22" s="39" t="inlineStr">
        <is>
          <t>Reserve gap (target minus current)</t>
        </is>
      </c>
      <c r="B22" s="43">
        <f>MAX(B18-B21,0)</f>
        <v/>
      </c>
    </row>
    <row r="23" ht="15" customHeight="1" s="23">
      <c r="A23" s="39" t="inlineStr">
        <is>
          <t>Months of runway at current cash</t>
        </is>
      </c>
      <c r="B23" s="44">
        <f>IF(B14&lt;=0,0,B21/B14)</f>
        <v/>
      </c>
    </row>
  </sheetData>
  <mergeCells count="5">
    <mergeCell ref="A4:B4"/>
    <mergeCell ref="A2:F2"/>
    <mergeCell ref="A20:B20"/>
    <mergeCell ref="A16:B16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2026-08-09T05:27:04Z</dcterms:created>
  <dcterms:modified xmlns:dcterms="http://purl.org/dc/terms/" xmlns:xsi="http://www.w3.org/2001/XMLSchema-instance" xsi:type="dcterms:W3CDTF">2026-09-23T00:54:44Z</dcterms:modified>
  <cp:revision>0</cp:revision>
</cp:coreProperties>
</file>